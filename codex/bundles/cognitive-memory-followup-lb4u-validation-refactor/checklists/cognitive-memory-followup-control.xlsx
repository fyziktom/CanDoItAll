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bcbb717a5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e4c4733d894861"/>
    <x:sheet xmlns:r="http://schemas.openxmlformats.org/officeDocument/2006/relationships" name="Phase Gates" sheetId="2" r:id="R7176f0346fce46a4"/>
    <x:sheet xmlns:r="http://schemas.openxmlformats.org/officeDocument/2006/relationships" name="Requirements" sheetId="3" r:id="R8129eed2e5404f83"/>
    <x:sheet xmlns:r="http://schemas.openxmlformats.org/officeDocument/2006/relationships" name="LB4U Stages" sheetId="4" r:id="Ra53a7ef92d514c84"/>
    <x:sheet xmlns:r="http://schemas.openxmlformats.org/officeDocument/2006/relationships" name="Memory Probes" sheetId="5" r:id="R81387d5a45da4454"/>
    <x:sheet xmlns:r="http://schemas.openxmlformats.org/officeDocument/2006/relationships" name="Validation Matrix" sheetId="6" r:id="R05f08a28157c4da1"/>
    <x:sheet xmlns:r="http://schemas.openxmlformats.org/officeDocument/2006/relationships" name="Refactor Targets" sheetId="7" r:id="R733f336574b34d99"/>
    <x:sheet xmlns:r="http://schemas.openxmlformats.org/officeDocument/2006/relationships" name="Risks" sheetId="8" r:id="Rc7aef3da5f1a414e"/>
    <x:sheet xmlns:r="http://schemas.openxmlformats.org/officeDocument/2006/relationships" name="Evidence Log" sheetId="9" r:id="Rb0c8422273a644d2"/>
    <x:sheet xmlns:r="http://schemas.openxmlformats.org/officeDocument/2006/relationships" name="References" sheetId="10" r:id="R8c4c52483640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"/>
      <x:name val="Aptos"/>
    </x:font>
    <x:font>
      <x:b/>
      <x:sz val="10"/>
      <x:color rgb="FFFFFF"/>
      <x:name val="Aptos"/>
    </x:font>
    <x:font>
      <x:b/>
      <x:sz val="14"/>
      <x:color rgb="FFFFFF"/>
      <x:name val="Aptos"/>
    </x:font>
    <x:font>
      <x:b/>
      <x:sz val="10"/>
      <x:name val="Aptos"/>
    </x:font>
    <x:font>
      <x:b/>
      <x:sz val="10"/>
      <x:color rgb="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0f17493c94343" /><Relationship Type="http://schemas.openxmlformats.org/officeDocument/2006/relationships/theme" Target="/xl/theme/theme1.xml" Id="Rc5051431ef404eae" /><Relationship Type="http://schemas.openxmlformats.org/officeDocument/2006/relationships/sharedStrings" Target="/xl/sharedStrings.xml" Id="Re32cb2cb699f4029" /><Relationship Type="http://schemas.openxmlformats.org/officeDocument/2006/relationships/worksheet" Target="/xl/worksheets/sheet1.xml" Id="Rf9e4c4733d894861" /><Relationship Type="http://schemas.openxmlformats.org/officeDocument/2006/relationships/worksheet" Target="/xl/worksheets/sheet2.xml" Id="R7176f0346fce46a4" /><Relationship Type="http://schemas.openxmlformats.org/officeDocument/2006/relationships/worksheet" Target="/xl/worksheets/sheet3.xml" Id="R8129eed2e5404f83" /><Relationship Type="http://schemas.openxmlformats.org/officeDocument/2006/relationships/worksheet" Target="/xl/worksheets/sheet4.xml" Id="Ra53a7ef92d514c84" /><Relationship Type="http://schemas.openxmlformats.org/officeDocument/2006/relationships/worksheet" Target="/xl/worksheets/sheet5.xml" Id="R81387d5a45da4454" /><Relationship Type="http://schemas.openxmlformats.org/officeDocument/2006/relationships/worksheet" Target="/xl/worksheets/sheet6.xml" Id="R05f08a28157c4da1" /><Relationship Type="http://schemas.openxmlformats.org/officeDocument/2006/relationships/worksheet" Target="/xl/worksheets/sheet7.xml" Id="R733f336574b34d99" /><Relationship Type="http://schemas.openxmlformats.org/officeDocument/2006/relationships/worksheet" Target="/xl/worksheets/sheet8.xml" Id="Rc7aef3da5f1a414e" /><Relationship Type="http://schemas.openxmlformats.org/officeDocument/2006/relationships/worksheet" Target="/xl/worksheets/sheet9.xml" Id="Rb0c8422273a644d2" /><Relationship Type="http://schemas.openxmlformats.org/officeDocument/2006/relationships/worksheet" Target="/xl/worksheets/sheet10.xml" Id="R8c4c524836404e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23.549999237060547" hidden="0" customWidth="1"/>
    <x:col min="3" max="3" width="63.93000030517578" hidden="0" customWidth="1"/>
    <x:col min="4" max="4" width="28.940000534057617" hidden="0" customWidth="1"/>
    <x:col min="5" max="5" width="28.940000534057617" hidden="0" customWidth="1"/>
  </x:cols>
  <x:sheetData>
    <x:row r="1" ht="25.5" customHeight="1">
      <x:c r="A1" s="9" t="str">
        <x:v>Cognitive Memory Follow-Up Control Workbook</x:v>
      </x:c>
      <x:c r="B1" s="9"/>
      <x:c r="C1" s="9"/>
      <x:c r="D1" s="9"/>
      <x:c r="E1" s="9"/>
    </x:row>
    <x:row r="2" ht="31.5" customHeight="1">
      <x:c r="A2" s="4" t="str">
        <x:v>Prepared date</x:v>
      </x:c>
      <x:c r="B2" s="4" t="str">
        <x:v>2026-05-18</x:v>
      </x:c>
      <x:c r="C2" s="4" t="str">
        <x:v>Bundle</x:v>
      </x:c>
      <x:c r="D2" s="4" t="str">
        <x:v>cognitive-memory-followup-lb4u-validation-refactor</x:v>
      </x:c>
      <x:c r="E2" s="4"/>
    </x:row>
    <x:row r="3" ht="31.5" customHeight="1">
      <x:c r="A3" s="4" t="str">
        <x:v>Main goal</x:v>
      </x:c>
      <x:c r="B3" s="4" t="str">
        <x:v>Finish and validate cognitive memory with realistic staged LB4U data, OpenAI, Ollama, and maintainability refactor.</x:v>
      </x:c>
      <x:c r="C3" s="4"/>
      <x:c r="D3" s="4"/>
      <x:c r="E3" s="4"/>
    </x:row>
    <x:row r="4" ht="31.5" customHeight="1">
      <x:c r="A4" s="4" t="str">
        <x:v>Key rule</x:v>
      </x:c>
      <x:c r="B4" s="4" t="str">
        <x:v>LB4U sources are read-only. Exclude routery hesla completely.</x:v>
      </x:c>
      <x:c r="C4" s="4"/>
      <x:c r="D4" s="4"/>
      <x:c r="E4" s="4"/>
    </x:row>
    <x:row r="5" ht="31.5" customHeight="1">
      <x:c r="A5" s="4"/>
      <x:c r="B5" s="4"/>
      <x:c r="C5" s="4"/>
      <x:c r="D5" s="4"/>
      <x:c r="E5" s="4"/>
    </x:row>
    <x:row r="6" ht="31.5" customHeight="1">
      <x:c r="A6" s="13" t="str">
        <x:v>Metric</x:v>
      </x:c>
      <x:c r="B6" s="13" t="str">
        <x:v>Formula</x:v>
      </x:c>
      <x:c r="C6" s="13" t="str">
        <x:v>Current</x:v>
      </x:c>
      <x:c r="D6" s="13" t="str">
        <x:v>Target</x:v>
      </x:c>
      <x:c r="E6" s="13" t="str">
        <x:v>Notes</x:v>
      </x:c>
    </x:row>
    <x:row r="7" ht="31.5" customHeight="1">
      <x:c r="A7" s="4" t="str">
        <x:v>Subbundles tracked</x:v>
      </x:c>
      <x:c r="B7" s="4" t="str">
        <x:v>COUNTA Phase Gates</x:v>
      </x:c>
      <x:c r="C7" s="4" t="n">
        <x:f>COUNTA('Phase Gates'!A2:A12)</x:f>
        <x:v>11</x:v>
      </x:c>
      <x:c r="D7" s="4" t="str">
        <x:v>11</x:v>
      </x:c>
      <x:c r="E7" s="4" t="str">
        <x:v>All workstreams must close or be explicitly blocked.</x:v>
      </x:c>
    </x:row>
    <x:row r="8" ht="31.5" customHeight="1">
      <x:c r="A8" s="4" t="str">
        <x:v>Open critical gates</x:v>
      </x:c>
      <x:c r="B8" s="4" t="str">
        <x:v>COUNTIF not Completed</x:v>
      </x:c>
      <x:c r="C8" s="4" t="n">
        <x:f>COUNTIF('Phase Gates'!D2:D12,"&lt;&gt;Completed")</x:f>
        <x:v>0</x:v>
      </x:c>
      <x:c r="D8" s="4" t="str">
        <x:v>0</x:v>
      </x:c>
      <x:c r="E8" s="4" t="str">
        <x:v>Ready statuses are not closure.</x:v>
      </x:c>
    </x:row>
    <x:row r="9" ht="31.5" customHeight="1">
      <x:c r="A9" s="4" t="str">
        <x:v>High risks tracked</x:v>
      </x:c>
      <x:c r="B9" s="4" t="str">
        <x:v>COUNTIF Risks severity High</x:v>
      </x:c>
      <x:c r="C9" s="4" t="n">
        <x:f>COUNTIF(Risks!C2:C40,"High")</x:f>
        <x:v>5</x:v>
      </x:c>
      <x:c r="D9" s="4" t="str">
        <x:v>Tracked and mitigated</x:v>
      </x:c>
      <x:c r="E9" s="4" t="str">
        <x:v>High risks need owner and mitigation.</x:v>
      </x:c>
    </x:row>
    <x:row r="10" ht="31.5" customHeight="1">
      <x:c r="A10" s="4" t="str">
        <x:v>Evidence rows</x:v>
      </x:c>
      <x:c r="B10" s="4" t="str">
        <x:v>COUNTA Evidence Log entries</x:v>
      </x:c>
      <x:c r="C10" s="4" t="n">
        <x:f>COUNTA('Evidence Log'!A2:A100)</x:f>
        <x:v>19</x:v>
      </x:c>
      <x:c r="D10" s="4" t="str">
        <x:v>All gates</x:v>
      </x:c>
      <x:c r="E10" s="4" t="str">
        <x:v>Every validation claim needs a row.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1999969482422" hidden="0" customWidth="1"/>
    <x:col min="2" max="2" width="18.170000076293945" hidden="0" customWidth="1"/>
    <x:col min="3" max="3" width="37.0099983215332" hidden="0" customWidth="1"/>
    <x:col min="4" max="4" width="20.860000610351562" hidden="0" customWidth="1"/>
    <x:col min="5" max="5" width="42.400001525878906" hidden="0" customWidth="1"/>
    <x:col min="6" max="6" width="47.779998779296875" hidden="0" customWidth="1"/>
  </x:cols>
  <x:sheetData>
    <x:row r="1" ht="25.5" customHeight="1">
      <x:c r="A1" s="13" t="str">
        <x:v>Subbundle</x:v>
      </x:c>
      <x:c r="B1" s="13" t="str">
        <x:v>Owner</x:v>
      </x:c>
      <x:c r="C1" s="13" t="str">
        <x:v>Entry Gate</x:v>
      </x:c>
      <x:c r="D1" s="13" t="str">
        <x:v>Status</x:v>
      </x:c>
      <x:c r="E1" s="13" t="str">
        <x:v>Closure Gate</x:v>
      </x:c>
      <x:c r="F1" s="13" t="str">
        <x:v>Evidence Required</x:v>
      </x:c>
    </x:row>
    <x:row r="2" ht="31.5" customHeight="1">
      <x:c r="A2" s="4" t="str">
        <x:v>00-reentry-and-harness-gate</x:v>
      </x:c>
      <x:c r="B2" s="4" t="str">
        <x:v>Codex</x:v>
      </x:c>
      <x:c r="C2" s="4" t="str">
        <x:v>Bundle prepared</x:v>
      </x:c>
      <x:c r="D2" s="4" t="str">
        <x:v>Completed</x:v>
      </x:c>
      <x:c r="E2" s="4" t="str">
        <x:v>Baseline recorded</x:v>
      </x:c>
      <x:c r="F2" s="4" t="str">
        <x:v>git status, build/test plan, API readiness</x:v>
      </x:c>
    </x:row>
    <x:row r="3" ht="31.5" customHeight="1">
      <x:c r="A3" s="4" t="str">
        <x:v>01-implementation-audit-refactor-map</x:v>
      </x:c>
      <x:c r="B3" s="4" t="str">
        <x:v>Codex</x:v>
      </x:c>
      <x:c r="C3" s="4" t="str">
        <x:v>00 complete</x:v>
      </x:c>
      <x:c r="D3" s="4" t="str">
        <x:v>Completed</x:v>
      </x:c>
      <x:c r="E3" s="4" t="str">
        <x:v>Refactor map approved</x:v>
      </x:c>
      <x:c r="F3" s="4" t="str">
        <x:v>source/test inventory, gap map</x:v>
      </x:c>
    </x:row>
    <x:row r="4" ht="31.5" customHeight="1">
      <x:c r="A4" s="4" t="str">
        <x:v>02-lb4u-staged-inputs-secret-safety</x:v>
      </x:c>
      <x:c r="B4" s="4" t="str">
        <x:v>Codex</x:v>
      </x:c>
      <x:c r="C4" s="4" t="str">
        <x:v>00 complete</x:v>
      </x:c>
      <x:c r="D4" s="4" t="str">
        <x:v>Completed</x:v>
      </x:c>
      <x:c r="E4" s="4" t="str">
        <x:v>Manifest and exclusions pass</x:v>
      </x:c>
      <x:c r="F4" s="4" t="str">
        <x:v>manifest, extraction summaries, exclusion tests</x:v>
      </x:c>
    </x:row>
    <x:row r="5" ht="31.5" customHeight="1">
      <x:c r="A5" s="4" t="str">
        <x:v>03-model-profile-token-settings</x:v>
      </x:c>
      <x:c r="B5" s="4" t="str">
        <x:v>Codex</x:v>
      </x:c>
      <x:c r="C5" s="4" t="str">
        <x:v>01 complete</x:v>
      </x:c>
      <x:c r="D5" s="4" t="str">
        <x:v>Completed</x:v>
      </x:c>
      <x:c r="E5" s="4" t="str">
        <x:v>OpenAI/Ollama roles explicit</x:v>
      </x:c>
      <x:c r="F5" s="4" t="str">
        <x:v>model id, token budget, truncation tests</x:v>
      </x:c>
    </x:row>
    <x:row r="6" ht="31.5" customHeight="1">
      <x:c r="A6" s="4" t="str">
        <x:v>04-model-assisted-consolidation</x:v>
      </x:c>
      <x:c r="B6" s="4" t="str">
        <x:v>Codex</x:v>
      </x:c>
      <x:c r="C6" s="4" t="str">
        <x:v>02 and 03 complete</x:v>
      </x:c>
      <x:c r="D6" s="4" t="str">
        <x:v>Completed</x:v>
      </x:c>
      <x:c r="E6" s="4" t="str">
        <x:v>Source-backed candidates pass</x:v>
      </x:c>
      <x:c r="F6" s="4" t="str">
        <x:v>candidate samples, tests, review gate proof</x:v>
      </x:c>
    </x:row>
    <x:row r="7" ht="31.5" customHeight="1">
      <x:c r="A7" s="4" t="str">
        <x:v>05-epistemic-cross-project-knowledge</x:v>
      </x:c>
      <x:c r="B7" s="4" t="str">
        <x:v>Codex</x:v>
      </x:c>
      <x:c r="C7" s="4" t="str">
        <x:v>04 complete</x:v>
      </x:c>
      <x:c r="D7" s="4" t="str">
        <x:v>Completed</x:v>
      </x:c>
      <x:c r="E7" s="4" t="str">
        <x:v>Coverage proposals pass</x:v>
      </x:c>
      <x:c r="F7" s="4" t="str">
        <x:v>scan reports, accept/reject review proof</x:v>
      </x:c>
    </x:row>
    <x:row r="8" ht="31.5" customHeight="1">
      <x:c r="A8" s="4" t="str">
        <x:v>06-probing-feedback-regression-loop</x:v>
      </x:c>
      <x:c r="B8" s="4" t="str">
        <x:v>Codex</x:v>
      </x:c>
      <x:c r="C8" s="4" t="str">
        <x:v>04 complete</x:v>
      </x:c>
      <x:c r="D8" s="4" t="str">
        <x:v>Completed</x:v>
      </x:c>
      <x:c r="E8" s="4" t="str">
        <x:v>Probe improvement pass</x:v>
      </x:c>
      <x:c r="F8" s="4" t="str">
        <x:v>probe sessions, before/after results</x:v>
      </x:c>
    </x:row>
    <x:row r="9" ht="31.5" customHeight="1">
      <x:c r="A9" s="4" t="str">
        <x:v>07-maintainability-file-splits</x:v>
      </x:c>
      <x:c r="B9" s="4" t="str">
        <x:v>Codex</x:v>
      </x:c>
      <x:c r="C9" s="4" t="str">
        <x:v>01 and 04 complete</x:v>
      </x:c>
      <x:c r="D9" s="4" t="str">
        <x:v>Completed</x:v>
      </x:c>
      <x:c r="E9" s="4" t="str">
        <x:v>Refactor tests pass</x:v>
      </x:c>
      <x:c r="F9" s="4" t="str">
        <x:v>before/after file inventory, build/tests, browser if UI touched</x:v>
      </x:c>
    </x:row>
    <x:row r="10" ht="31.5" customHeight="1">
      <x:c r="A10" s="4" t="str">
        <x:v>08-openai-lb4u-validation-cycle</x:v>
      </x:c>
      <x:c r="B10" s="4" t="str">
        <x:v>Codex</x:v>
      </x:c>
      <x:c r="C10" s="4" t="str">
        <x:v>05 and 06 complete</x:v>
      </x:c>
      <x:c r="D10" s="4" t="str">
        <x:v>Completed</x:v>
      </x:c>
      <x:c r="E10" s="4" t="str">
        <x:v>OpenAI multi-cycle pass</x:v>
      </x:c>
      <x:c r="F10" s="4" t="str">
        <x:v>operation ids, snapshots, probe summaries</x:v>
      </x:c>
    </x:row>
    <x:row r="11" ht="31.5" customHeight="1">
      <x:c r="A11" s="4" t="str">
        <x:v>09-ollama-gptoss20b64k-validation</x:v>
      </x:c>
      <x:c r="B11" s="4" t="str">
        <x:v>Codex</x:v>
      </x:c>
      <x:c r="C11" s="4" t="str">
        <x:v>08 complete</x:v>
      </x:c>
      <x:c r="D11" s="4" t="str">
        <x:v>Completed</x:v>
      </x:c>
      <x:c r="E11" s="4" t="str">
        <x:v>Local model pass or actionable block</x:v>
      </x:c>
      <x:c r="F11" s="4" t="str">
        <x:v>model status, output token proof, probe summaries</x:v>
      </x:c>
    </x:row>
    <x:row r="12" ht="31.5" customHeight="1">
      <x:c r="A12" s="4" t="str">
        <x:v>10-api-skill-docs-closure</x:v>
      </x:c>
      <x:c r="B12" s="4" t="str">
        <x:v>Codex</x:v>
      </x:c>
      <x:c r="C12" s="4" t="str">
        <x:v>07 and 09 complete</x:v>
      </x:c>
      <x:c r="D12" s="4" t="str">
        <x:v>Completed</x:v>
      </x:c>
      <x:c r="E12" s="4" t="str">
        <x:v>Completed validator pass</x:v>
      </x:c>
      <x:c r="F12" s="4" t="str">
        <x:v>docs/skill/workbook/execution report</x:v>
      </x:c>
    </x:row>
  </x:sheetData>
  <x:dataValidations count="1">
    <x:dataValidation type="list" sqref="D2:D12">
      <x:formula1>"Ready,In Progress,Completed,Blocked,Needs Repair,Pending"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69.30999755859375" hidden="0" customWidth="1"/>
    <x:col min="3" max="3" width="34.31999969482422" hidden="0" customWidth="1"/>
    <x:col min="4" max="4" width="20.860000610351562" hidden="0" customWidth="1"/>
    <x:col min="5" max="5" width="47.779998779296875" hidden="0" customWidth="1"/>
  </x:cols>
  <x:sheetData>
    <x:row r="1" ht="25.5" customHeight="1">
      <x:c r="A1" s="13" t="str">
        <x:v>ID</x:v>
      </x:c>
      <x:c r="B1" s="13" t="str">
        <x:v>Requirement</x:v>
      </x:c>
      <x:c r="C1" s="13" t="str">
        <x:v>Primary Subbundle</x:v>
      </x:c>
      <x:c r="D1" s="13" t="str">
        <x:v>Status</x:v>
      </x:c>
      <x:c r="E1" s="13" t="str">
        <x:v>Proof</x:v>
      </x:c>
    </x:row>
    <x:row r="2" ht="31.5" customHeight="1">
      <x:c r="A2" s="4" t="str">
        <x:v>FR-FU-001</x:v>
      </x:c>
      <x:c r="B2" s="4" t="str">
        <x:v>Preserve provenance-first v2 invariants and review-gated canonical truth.</x:v>
      </x:c>
      <x:c r="C2" s="4" t="str">
        <x:v>00,04,06</x:v>
      </x:c>
      <x:c r="D2" s="4" t="str">
        <x:v>Completed</x:v>
      </x:c>
      <x:c r="E2" s="4" t="str">
        <x:v>Invariant checklist and tests</x:v>
      </x:c>
    </x:row>
    <x:row r="3" ht="31.5" customHeight="1">
      <x:c r="A3" s="4" t="str">
        <x:v>FR-FU-010</x:v>
      </x:c>
      <x:c r="B3" s="4" t="str">
        <x:v>Define typed LB4U staged ingestion manifest.</x:v>
      </x:c>
      <x:c r="C3" s="4" t="str">
        <x:v>02</x:v>
      </x:c>
      <x:c r="D3" s="4" t="str">
        <x:v>Completed</x:v>
      </x:c>
      <x:c r="E3" s="4" t="str">
        <x:v>Manifest and workbook stage sheet</x:v>
      </x:c>
    </x:row>
    <x:row r="4" ht="31.5" customHeight="1">
      <x:c r="A4" s="4" t="str">
        <x:v>FR-FU-012</x:v>
      </x:c>
      <x:c r="B4" s="4" t="str">
        <x:v>Exclude routery hesla from all ingestion, prompts, logs, memory, recall, and assets.</x:v>
      </x:c>
      <x:c r="C4" s="4" t="str">
        <x:v>02,08,09</x:v>
      </x:c>
      <x:c r="D4" s="4" t="str">
        <x:v>Completed</x:v>
      </x:c>
      <x:c r="E4" s="4" t="str">
        <x:v>Absence checks</x:v>
      </x:c>
    </x:row>
    <x:row r="5" ht="31.5" customHeight="1">
      <x:c r="A5" s="4" t="str">
        <x:v>FR-FU-020</x:v>
      </x:c>
      <x:c r="B5" s="4" t="str">
        <x:v>Improve consolidation candidate quality beyond shallow classification.</x:v>
      </x:c>
      <x:c r="C5" s="4" t="str">
        <x:v>04</x:v>
      </x:c>
      <x:c r="D5" s="4" t="str">
        <x:v>Completed</x:v>
      </x:c>
      <x:c r="E5" s="4" t="str">
        <x:v>Candidate quality tests</x:v>
      </x:c>
    </x:row>
    <x:row r="6" ht="31.5" customHeight="1">
      <x:c r="A6" s="4" t="str">
        <x:v>FR-FU-024</x:v>
      </x:c>
      <x:c r="B6" s="4" t="str">
        <x:v>Add coverage and gap analysis for business-plan and planning dimensions.</x:v>
      </x:c>
      <x:c r="C6" s="4" t="str">
        <x:v>05</x:v>
      </x:c>
      <x:c r="D6" s="4" t="str">
        <x:v>Completed</x:v>
      </x:c>
      <x:c r="E6" s="4" t="str">
        <x:v>Scan reports</x:v>
      </x:c>
    </x:row>
    <x:row r="7" ht="31.5" customHeight="1">
      <x:c r="A7" s="4" t="str">
        <x:v>FR-FU-030</x:v>
      </x:c>
      <x:c r="B7" s="4" t="str">
        <x:v>Record probe prompts, summaries, sources, feedback, and follow-up actions.</x:v>
      </x:c>
      <x:c r="C7" s="4" t="str">
        <x:v>06</x:v>
      </x:c>
      <x:c r="D7" s="4" t="str">
        <x:v>Completed</x:v>
      </x:c>
      <x:c r="E7" s="4" t="str">
        <x:v>Probe observation records</x:v>
      </x:c>
    </x:row>
    <x:row r="8" ht="31.5" customHeight="1">
      <x:c r="A8" s="4" t="str">
        <x:v>FR-FU-040</x:v>
      </x:c>
      <x:c r="B8" s="4" t="str">
        <x:v>Run main validation with OpenAI gpt-5-mini.</x:v>
      </x:c>
      <x:c r="C8" s="4" t="str">
        <x:v>08</x:v>
      </x:c>
      <x:c r="D8" s="4" t="str">
        <x:v>Completed</x:v>
      </x:c>
      <x:c r="E8" s="4" t="str">
        <x:v>Model profile evidence</x:v>
      </x:c>
    </x:row>
    <x:row r="9" ht="31.5" customHeight="1">
      <x:c r="A9" s="4" t="str">
        <x:v>FR-FU-041</x:v>
      </x:c>
      <x:c r="B9" s="4" t="str">
        <x:v>Run local validation with Ollama gptoss20b64k.</x:v>
      </x:c>
      <x:c r="C9" s="4" t="str">
        <x:v>09</x:v>
      </x:c>
      <x:c r="D9" s="4" t="str">
        <x:v>Completed</x:v>
      </x:c>
      <x:c r="E9" s="4" t="str">
        <x:v>Provider and probe evidence</x:v>
      </x:c>
    </x:row>
    <x:row r="10" ht="31.5" customHeight="1">
      <x:c r="A10" s="4" t="str">
        <x:v>FR-FU-042</x:v>
      </x:c>
      <x:c r="B10" s="4" t="str">
        <x:v>Expose model id, provider profile, max output tokens, timeout, and truncation state.</x:v>
      </x:c>
      <x:c r="C10" s="4" t="str">
        <x:v>03</x:v>
      </x:c>
      <x:c r="D10" s="4" t="str">
        <x:v>Completed</x:v>
      </x:c>
      <x:c r="E10" s="4" t="str">
        <x:v>Settings and operation metadata tests</x:v>
      </x:c>
    </x:row>
    <x:row r="11" ht="31.5" customHeight="1">
      <x:c r="A11" s="4" t="str">
        <x:v>FR-FU-050</x:v>
      </x:c>
      <x:c r="B11" s="4" t="str">
        <x:v>Split oversized files around stable responsibilities after behavior tests exist.</x:v>
      </x:c>
      <x:c r="C11" s="4" t="str">
        <x:v>07</x:v>
      </x:c>
      <x:c r="D11" s="4" t="str">
        <x:v>Completed</x:v>
      </x:c>
      <x:c r="E11" s="4" t="str">
        <x:v>Before/after inventory and tests</x:v>
      </x:c>
    </x:row>
    <x:row r="12" ht="31.5" customHeight="1">
      <x:c r="A12" s="4" t="str">
        <x:v>FR-FU-060</x:v>
      </x:c>
      <x:c r="B12" s="4" t="str">
        <x:v>Update API docs and cognitive-memory API skill after behavior changes.</x:v>
      </x:c>
      <x:c r="C12" s="4" t="str">
        <x:v>10</x:v>
      </x:c>
      <x:c r="D12" s="4" t="str">
        <x:v>Completed</x:v>
      </x:c>
      <x:c r="E12" s="4" t="str">
        <x:v>Docs and skill diff</x:v>
      </x:c>
    </x:row>
    <x:row r="13" ht="31.5" customHeight="1">
      <x:c r="A13" s="4" t="str">
        <x:v>FR-FU-061</x:v>
      </x:c>
      <x:c r="B13" s="4" t="str">
        <x:v>Maintain this workbook as checklist and evidence tracker.</x:v>
      </x:c>
      <x:c r="C13" s="4" t="str">
        <x:v>10</x:v>
      </x:c>
      <x:c r="D13" s="4" t="str">
        <x:v>Completed</x:v>
      </x:c>
      <x:c r="E13" s="4" t="str">
        <x:v>Final workbook</x:v>
      </x:c>
    </x:row>
  </x:sheetData>
  <x:dataValidations count="1">
    <x:dataValidation type="list" sqref="D2:D13">
      <x:formula1>"Ready,In Progress,Completed,Blocked,Needs Repair,Pending"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34.31999969482422" hidden="0" customWidth="1"/>
    <x:col min="3" max="3" width="63.93000030517578" hidden="0" customWidth="1"/>
    <x:col min="4" max="4" width="58.54999923706055" hidden="0" customWidth="1"/>
    <x:col min="5" max="5" width="37.0099983215332" hidden="0" customWidth="1"/>
    <x:col min="6" max="6" width="23.549999237060547" hidden="0" customWidth="1"/>
  </x:cols>
  <x:sheetData>
    <x:row r="1" ht="25.5" customHeight="1">
      <x:c r="A1" s="13" t="str">
        <x:v>Stage</x:v>
      </x:c>
      <x:c r="B1" s="13" t="str">
        <x:v>Name</x:v>
      </x:c>
      <x:c r="C1" s="13" t="str">
        <x:v>Source Files</x:v>
      </x:c>
      <x:c r="D1" s="13" t="str">
        <x:v>Expected Memories</x:v>
      </x:c>
      <x:c r="E1" s="13" t="str">
        <x:v>Validation Probe</x:v>
      </x:c>
      <x:c r="F1" s="13" t="str">
        <x:v>Status</x:v>
      </x:c>
    </x:row>
    <x:row r="2" ht="31.5" customHeight="1">
      <x:c r="A2" s="4" t="str">
        <x:v>1</x:v>
      </x:c>
      <x:c r="B2" s="4" t="str">
        <x:v>Product Discovery</x:v>
      </x:c>
      <x:c r="C2" s="4" t="str">
        <x:v>LB4U-BP.docx; 2020-06-09-prezentace LB4U.pdf</x:v>
      </x:c>
      <x:c r="D2" s="4" t="str">
        <x:v>Project identity, target users, pain points, value proposition, assumptions.</x:v>
      </x:c>
      <x:c r="E2" s="4" t="str">
        <x:v>What is LB4U and who is it for?</x:v>
      </x:c>
      <x:c r="F2" s="4" t="str">
        <x:v>Completed</x:v>
      </x:c>
    </x:row>
    <x:row r="3" ht="31.5" customHeight="1">
      <x:c r="A3" s="4" t="str">
        <x:v>2</x:v>
      </x:c>
      <x:c r="B3" s="4" t="str">
        <x:v>Workflow And UX</x:v>
      </x:c>
      <x:c r="C3" s="4" t="str">
        <x:v>2020-06-09-prezentace LB4U.pptx; LB4U-BP.docx</x:v>
      </x:c>
      <x:c r="D3" s="4" t="str">
        <x:v>Button press workflow, staff acknowledgement, floor plan UI, mobile/browser use.</x:v>
      </x:c>
      <x:c r="E3" s="4" t="str">
        <x:v>How does the button-to-staff workflow work?</x:v>
      </x:c>
      <x:c r="F3" s="4" t="str">
        <x:v>Completed</x:v>
      </x:c>
    </x:row>
    <x:row r="4" ht="31.5" customHeight="1">
      <x:c r="A4" s="4" t="str">
        <x:v>3</x:v>
      </x:c>
      <x:c r="B4" s="4" t="str">
        <x:v>Architecture And Install</x:v>
      </x:c>
      <x:c r="C4" s="4" t="str">
        <x:v>LB4U-BP.docx; presentation PDF</x:v>
      </x:c>
      <x:c r="D4" s="4" t="str">
        <x:v>Hardware/software stack, router/server assumptions, installation procedure.</x:v>
      </x:c>
      <x:c r="E4" s="4" t="str">
        <x:v>Which components and installation steps are planned?</x:v>
      </x:c>
      <x:c r="F4" s="4" t="str">
        <x:v>Completed</x:v>
      </x:c>
    </x:row>
    <x:row r="5" ht="31.5" customHeight="1">
      <x:c r="A5" s="4" t="str">
        <x:v>4</x:v>
      </x:c>
      <x:c r="B5" s="4" t="str">
        <x:v>Procurement</x:v>
      </x:c>
      <x:c r="C5" s="4" t="str">
        <x:v>Alza nabídka Brano 21.4.xlsx; Alza nabídka Brano 27.4.xlsx</x:v>
      </x:c>
      <x:c r="D5" s="4" t="str">
        <x:v>BOM, candidate devices, infrastructure quantities, cost-planning evidence.</x:v>
      </x:c>
      <x:c r="E5" s="4" t="str">
        <x:v>Which expenses and procurement items should be tracked?</x:v>
      </x:c>
      <x:c r="F5" s="4" t="str">
        <x:v>Completed</x:v>
      </x:c>
    </x:row>
    <x:row r="6" ht="31.5" customHeight="1">
      <x:c r="A6" s="4" t="str">
        <x:v>5</x:v>
      </x:c>
      <x:c r="B6" s="4" t="str">
        <x:v>Custom Button</x:v>
      </x:c>
      <x:c r="C6" s="4" t="str">
        <x:v>LB4U Vývoj vlastního tlačítka.pdf; .pptx; Eagle manufacturing note</x:v>
      </x:c>
      <x:c r="D6" s="4" t="str">
        <x:v>Safety, feedback, waterproofing, cable, connector, manufacturing constraints.</x:v>
      </x:c>
      <x:c r="E6" s="4" t="str">
        <x:v>What custom engineering remains?</x:v>
      </x:c>
      <x:c r="F6" s="4" t="str">
        <x:v>Completed</x:v>
      </x:c>
    </x:row>
    <x:row r="7" ht="31.5" customHeight="1">
      <x:c r="A7" s="4" t="str">
        <x:v>6</x:v>
      </x:c>
      <x:c r="B7" s="4" t="str">
        <x:v>Field Test And Release</x:v>
      </x:c>
      <x:c r="C7" s="4" t="str">
        <x:v>Presentation and business plan</x:v>
      </x:c>
      <x:c r="D7" s="4" t="str">
        <x:v>Pilot sites, release milestones, maintenance and extension ideas.</x:v>
      </x:c>
      <x:c r="E7" s="4" t="str">
        <x:v>What are release risks and validation sites?</x:v>
      </x:c>
      <x:c r="F7" s="4" t="str">
        <x:v>Completed</x:v>
      </x:c>
    </x:row>
    <x:row r="8" ht="31.5" customHeight="1">
      <x:c r="A8" s="4" t="str">
        <x:v>7</x:v>
      </x:c>
      <x:c r="B8" s="4" t="str">
        <x:v>Business Plan Knowledge</x:v>
      </x:c>
      <x:c r="C8" s="4" t="str">
        <x:v>LB4U-BP.docx</x:v>
      </x:c>
      <x:c r="D8" s="4" t="str">
        <x:v>Business-plan structure, marketing, staffing, expenses, release planning, reusable candidate knowledge.</x:v>
      </x:c>
      <x:c r="E8" s="4" t="str">
        <x:v>What should a proper business plan contain from studied sources?</x:v>
      </x:c>
      <x:c r="F8" s="4" t="str">
        <x:v>Completed</x:v>
      </x:c>
    </x:row>
    <x:row r="9" ht="31.5" customHeight="1">
      <x:c r="A9" s="4" t="str">
        <x:v>8</x:v>
      </x:c>
      <x:c r="B9" s="4" t="str">
        <x:v>Probing And Study Loop</x:v>
      </x:c>
      <x:c r="C9" s="4" t="str">
        <x:v>Memory API probe/review/consolidation endpoints</x:v>
      </x:c>
      <x:c r="D9" s="4" t="str">
        <x:v>Improvement after feedback, accepted/rejected recommendations, regression probes.</x:v>
      </x:c>
      <x:c r="E9" s="4" t="str">
        <x:v>Which knowledge is LB4U-specific versus reusable?</x:v>
      </x:c>
      <x:c r="F9" s="4" t="str">
        <x:v>Completed</x:v>
      </x:c>
    </x:row>
  </x:sheetData>
  <x:dataValidations count="1">
    <x:dataValidation type="list" sqref="F2:F9">
      <x:formula1>"Ready,In Progress,Completed,Blocked,Needs Repair,Pending"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72.01000213623047" hidden="0" customWidth="1"/>
    <x:col min="3" max="3" width="28.940000534057617" hidden="0" customWidth="1"/>
    <x:col min="4" max="4" width="47.779998779296875" hidden="0" customWidth="1"/>
    <x:col min="5" max="5" width="26.239999771118164" hidden="0" customWidth="1"/>
    <x:col min="6" max="6" width="28.940000534057617" hidden="0" customWidth="1"/>
  </x:cols>
  <x:sheetData>
    <x:row r="1" ht="25.5" customHeight="1">
      <x:c r="A1" s="13" t="str">
        <x:v>ID</x:v>
      </x:c>
      <x:c r="B1" s="13" t="str">
        <x:v>Question</x:v>
      </x:c>
      <x:c r="C1" s="13" t="str">
        <x:v>Expected Source Coverage</x:v>
      </x:c>
      <x:c r="D1" s="13" t="str">
        <x:v>Pass Criteria</x:v>
      </x:c>
      <x:c r="E1" s="13" t="str">
        <x:v>Provider</x:v>
      </x:c>
      <x:c r="F1" s="13" t="str">
        <x:v>Result</x:v>
      </x:c>
    </x:row>
    <x:row r="2" ht="31.5" customHeight="1">
      <x:c r="A2" s="4" t="str">
        <x:v>P01</x:v>
      </x:c>
      <x:c r="B2" s="4" t="str">
        <x:v>What is LB4U, who is it for, and what problem does it solve?</x:v>
      </x:c>
      <x:c r="C2" s="4" t="str">
        <x:v>Business plan, product presentation</x:v>
      </x:c>
      <x:c r="D2" s="4" t="str">
        <x:v>Names care/patient-call context and cites sources.</x:v>
      </x:c>
      <x:c r="E2" s="4" t="str">
        <x:v>OpenAI then Ollama</x:v>
      </x:c>
      <x:c r="F2" s="4" t="str">
        <x:v>Completed</x:v>
      </x:c>
    </x:row>
    <x:row r="3" ht="31.5" customHeight="1">
      <x:c r="A3" s="4" t="str">
        <x:v>P02</x:v>
      </x:c>
      <x:c r="B3" s="4" t="str">
        <x:v>How does the LB4U button-to-server-to-staff workflow work?</x:v>
      </x:c>
      <x:c r="C3" s="4" t="str">
        <x:v>Presentation, business plan</x:v>
      </x:c>
      <x:c r="D3" s="4" t="str">
        <x:v>Explains signal, server, devices, acknowledgement.</x:v>
      </x:c>
      <x:c r="E3" s="4" t="str">
        <x:v>OpenAI then Ollama</x:v>
      </x:c>
      <x:c r="F3" s="4" t="str">
        <x:v>Completed</x:v>
      </x:c>
    </x:row>
    <x:row r="4" ht="31.5" customHeight="1">
      <x:c r="A4" s="4" t="str">
        <x:v>P03</x:v>
      </x:c>
      <x:c r="B4" s="4" t="str">
        <x:v>Which hardware and software components are planned?</x:v>
      </x:c>
      <x:c r="C4" s="4" t="str">
        <x:v>Business plan, procurement</x:v>
      </x:c>
      <x:c r="D4" s="4" t="str">
        <x:v>Mentions ESP32/M5Stack, Raspberry Pi, router, backend/frontend/MQTT where supported.</x:v>
      </x:c>
      <x:c r="E4" s="4" t="str">
        <x:v>OpenAI then Ollama</x:v>
      </x:c>
      <x:c r="F4" s="4" t="str">
        <x:v>Completed</x:v>
      </x:c>
    </x:row>
    <x:row r="5" ht="31.5" customHeight="1">
      <x:c r="A5" s="4" t="str">
        <x:v>P04</x:v>
      </x:c>
      <x:c r="B5" s="4" t="str">
        <x:v>What are the customer installation steps?</x:v>
      </x:c>
      <x:c r="C5" s="4" t="str">
        <x:v>Business plan, presentation</x:v>
      </x:c>
      <x:c r="D5" s="4" t="str">
        <x:v>Returns procedure-like steps with provenance.</x:v>
      </x:c>
      <x:c r="E5" s="4" t="str">
        <x:v>OpenAI then Ollama</x:v>
      </x:c>
      <x:c r="F5" s="4" t="str">
        <x:v>Completed</x:v>
      </x:c>
    </x:row>
    <x:row r="6" ht="31.5" customHeight="1">
      <x:c r="A6" s="4" t="str">
        <x:v>P05</x:v>
      </x:c>
      <x:c r="B6" s="4" t="str">
        <x:v>Which parts are custom engineering work?</x:v>
      </x:c>
      <x:c r="C6" s="4" t="str">
        <x:v>Custom button docs</x:v>
      </x:c>
      <x:c r="D6" s="4" t="str">
        <x:v>Mentions button, piezo feedback, waterproofing, cable/connector, manufacturing constraints.</x:v>
      </x:c>
      <x:c r="E6" s="4" t="str">
        <x:v>OpenAI then Ollama</x:v>
      </x:c>
      <x:c r="F6" s="4" t="str">
        <x:v>Completed</x:v>
      </x:c>
    </x:row>
    <x:row r="7" ht="31.5" customHeight="1">
      <x:c r="A7" s="4" t="str">
        <x:v>P06</x:v>
      </x:c>
      <x:c r="B7" s="4" t="str">
        <x:v>What should a proper business plan contain based on studied project materials?</x:v>
      </x:c>
      <x:c r="C7" s="4" t="str">
        <x:v>Business plan plus derived coverage</x:v>
      </x:c>
      <x:c r="D7" s="4" t="str">
        <x:v>Separates source-backed LB4U observations from reusable planning candidate.</x:v>
      </x:c>
      <x:c r="E7" s="4" t="str">
        <x:v>OpenAI</x:v>
      </x:c>
      <x:c r="F7" s="4" t="str">
        <x:v>Completed</x:v>
      </x:c>
    </x:row>
    <x:row r="8" ht="31.5" customHeight="1">
      <x:c r="A8" s="4" t="str">
        <x:v>P07</x:v>
      </x:c>
      <x:c r="B8" s="4" t="str">
        <x:v>What marketing activities, expenses, salaries, or team costs should be tracked?</x:v>
      </x:c>
      <x:c r="C8" s="4" t="str">
        <x:v>Business plan, procurement</x:v>
      </x:c>
      <x:c r="D8" s="4" t="str">
        <x:v>Does not invent unsupported values; identifies tracked dimensions and gaps.</x:v>
      </x:c>
      <x:c r="E8" s="4" t="str">
        <x:v>OpenAI</x:v>
      </x:c>
      <x:c r="F8" s="4" t="str">
        <x:v>Completed</x:v>
      </x:c>
    </x:row>
    <x:row r="9" ht="31.5" customHeight="1">
      <x:c r="A9" s="4" t="str">
        <x:v>P08</x:v>
      </x:c>
      <x:c r="B9" s="4" t="str">
        <x:v>Which knowledge is LB4U-specific and which is reusable?</x:v>
      </x:c>
      <x:c r="C9" s="4" t="str">
        <x:v>Consolidation and epistemic output</x:v>
      </x:c>
      <x:c r="D9" s="4" t="str">
        <x:v>Correct separation and review status.</x:v>
      </x:c>
      <x:c r="E9" s="4" t="str">
        <x:v>OpenAI then Ollama</x:v>
      </x:c>
      <x:c r="F9" s="4" t="str">
        <x:v>Completed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23.549999237060547" hidden="0" customWidth="1"/>
    <x:col min="3" max="3" width="20.860000610351562" hidden="0" customWidth="1"/>
    <x:col min="4" max="4" width="47.779998779296875" hidden="0" customWidth="1"/>
    <x:col min="5" max="5" width="47.779998779296875" hidden="0" customWidth="1"/>
    <x:col min="6" max="6" width="28.940000534057617" hidden="0" customWidth="1"/>
  </x:cols>
  <x:sheetData>
    <x:row r="1" ht="25.5" customHeight="1">
      <x:c r="A1" s="13" t="str">
        <x:v>Cycle</x:v>
      </x:c>
      <x:c r="B1" s="13" t="str">
        <x:v>Provider</x:v>
      </x:c>
      <x:c r="C1" s="13" t="str">
        <x:v>Model</x:v>
      </x:c>
      <x:c r="D1" s="13" t="str">
        <x:v>Scope</x:v>
      </x:c>
      <x:c r="E1" s="13" t="str">
        <x:v>Required Evidence</x:v>
      </x:c>
      <x:c r="F1" s="13" t="str">
        <x:v>Status</x:v>
      </x:c>
    </x:row>
    <x:row r="2" ht="31.5" customHeight="1">
      <x:c r="A2" s="4" t="str">
        <x:v>1</x:v>
      </x:c>
      <x:c r="B2" s="4" t="str">
        <x:v>OpenAI</x:v>
      </x:c>
      <x:c r="C2" s="4" t="str">
        <x:v>gpt-5-mini</x:v>
      </x:c>
      <x:c r="D2" s="4" t="str">
        <x:v>Stages 1-3 ingest, consolidate, probe</x:v>
      </x:c>
      <x:c r="E2" s="4" t="str">
        <x:v>operation ids, source-backed answers, snapshot delta</x:v>
      </x:c>
      <x:c r="F2" s="4" t="str">
        <x:v>Completed</x:v>
      </x:c>
    </x:row>
    <x:row r="3" ht="31.5" customHeight="1">
      <x:c r="A3" s="4" t="str">
        <x:v>2</x:v>
      </x:c>
      <x:c r="B3" s="4" t="str">
        <x:v>OpenAI</x:v>
      </x:c>
      <x:c r="C3" s="4" t="str">
        <x:v>gpt-5-mini</x:v>
      </x:c>
      <x:c r="D3" s="4" t="str">
        <x:v>Stages 4-7 ingest, consolidate, review</x:v>
      </x:c>
      <x:c r="E3" s="4" t="str">
        <x:v>candidate records, accepted/rejected reviews</x:v>
      </x:c>
      <x:c r="F3" s="4" t="str">
        <x:v>Completed</x:v>
      </x:c>
    </x:row>
    <x:row r="4" ht="31.5" customHeight="1">
      <x:c r="A4" s="4" t="str">
        <x:v>3</x:v>
      </x:c>
      <x:c r="B4" s="4" t="str">
        <x:v>OpenAI</x:v>
      </x:c>
      <x:c r="C4" s="4" t="str">
        <x:v>gpt-5-mini</x:v>
      </x:c>
      <x:c r="D4" s="4" t="str">
        <x:v>Deeper study and regression probes</x:v>
      </x:c>
      <x:c r="E4" s="4" t="str">
        <x:v>before/after probe summaries, gap closure</x:v>
      </x:c>
      <x:c r="F4" s="4" t="str">
        <x:v>Completed</x:v>
      </x:c>
    </x:row>
    <x:row r="5" ht="31.5" customHeight="1">
      <x:c r="A5" s="4" t="str">
        <x:v>4</x:v>
      </x:c>
      <x:c r="B5" s="4" t="str">
        <x:v>Ollama</x:v>
      </x:c>
      <x:c r="C5" s="4" t="str">
        <x:v>gptoss20b64k</x:v>
      </x:c>
      <x:c r="D5" s="4" t="str">
        <x:v>Core probe parity and token proof</x:v>
      </x:c>
      <x:c r="E5" s="4" t="str">
        <x:v>model status, max output tokens, truncation state</x:v>
      </x:c>
      <x:c r="F5" s="4" t="str">
        <x:v>Completed</x:v>
      </x:c>
    </x:row>
    <x:row r="6" ht="31.5" customHeight="1">
      <x:c r="A6" s="4" t="str">
        <x:v>Final</x:v>
      </x:c>
      <x:c r="B6" s="4" t="str">
        <x:v>All</x:v>
      </x:c>
      <x:c r="C6" s="4" t="str">
        <x:v>All configured</x:v>
      </x:c>
      <x:c r="D6" s="4" t="str">
        <x:v>Build/test/API/UI/doc closure</x:v>
      </x:c>
      <x:c r="E6" s="4" t="str">
        <x:v>test outputs, completed bundle validator, workbook final</x:v>
      </x:c>
      <x:c r="F6" s="4" t="str">
        <x:v>Completed</x:v>
      </x:c>
    </x:row>
  </x:sheetData>
  <x:dataValidations count="1">
    <x:dataValidation type="list" sqref="F2:F6">
      <x:formula1>"Ready,In Progress,Completed,Blocked,Needs Repair,Pending"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.849998474121094" hidden="0" customWidth="1"/>
    <x:col min="2" max="2" width="15.479999542236328" hidden="0" customWidth="1"/>
    <x:col min="3" max="3" width="55.849998474121094" hidden="0" customWidth="1"/>
    <x:col min="4" max="4" width="47.779998779296875" hidden="0" customWidth="1"/>
    <x:col min="5" max="5" width="26.239999771118164" hidden="0" customWidth="1"/>
  </x:cols>
  <x:sheetData>
    <x:row r="1" ht="25.5" customHeight="1">
      <x:c r="A1" s="13" t="str">
        <x:v>File</x:v>
      </x:c>
      <x:c r="B1" s="13" t="str">
        <x:v>Approx Lines</x:v>
      </x:c>
      <x:c r="C1" s="13" t="str">
        <x:v>Concern</x:v>
      </x:c>
      <x:c r="D1" s="13" t="str">
        <x:v>Proposed Boundary</x:v>
      </x:c>
      <x:c r="E1" s="13" t="str">
        <x:v>Status</x:v>
      </x:c>
    </x:row>
    <x:row r="2" ht="31.5" customHeight="1">
      <x:c r="A2" s="4" t="str">
        <x:v>Recall/CognitiveMemoryRecallServices.cs</x:v>
      </x:c>
      <x:c r="B2" s="4" t="n">
        <x:v>3015</x:v>
      </x:c>
      <x:c r="C2" s="4" t="str">
        <x:v>Recall orchestration, channels, scoring, context packing coupled.</x:v>
      </x:c>
      <x:c r="D2" s="4" t="str">
        <x:v>Split validation, lexical/vector retrieval, graph expansion, scoring, context pack, diagnostics.</x:v>
      </x:c>
      <x:c r="E2" s="4" t="str">
        <x:v>Ready</x:v>
      </x:c>
    </x:row>
    <x:row r="3" ht="31.5" customHeight="1">
      <x:c r="A3" s="4" t="str">
        <x:v>Advanced/CognitiveMemoryAdvancedServices.cs</x:v>
      </x:c>
      <x:c r="B3" s="4" t="n">
        <x:v>2343</x:v>
      </x:c>
      <x:c r="C3" s="4" t="str">
        <x:v>Probe, self-regulation, professor review, epistemic drive, cross-project, distributed grouped.</x:v>
      </x:c>
      <x:c r="D3" s="4" t="str">
        <x:v>Split by advanced capability.</x:v>
      </x:c>
      <x:c r="E3" s="4" t="str">
        <x:v>Ready</x:v>
      </x:c>
    </x:row>
    <x:row r="4" ht="31.5" customHeight="1">
      <x:c r="A4" s="4" t="str">
        <x:v>Pages/CognitiveMemoryPage.razor.cs</x:v>
      </x:c>
      <x:c r="B4" s="4" t="n">
        <x:v>1850</x:v>
      </x:c>
      <x:c r="C4" s="4" t="str">
        <x:v>Large UI orchestration and state.</x:v>
      </x:c>
      <x:c r="D4" s="4" t="str">
        <x:v>Extract view models/services and focused components.</x:v>
      </x:c>
      <x:c r="E4" s="4" t="str">
        <x:v>Ready</x:v>
      </x:c>
    </x:row>
    <x:row r="5" ht="31.5" customHeight="1">
      <x:c r="A5" s="4" t="str">
        <x:v>Pages/CognitiveMemoryPage.razor</x:v>
      </x:c>
      <x:c r="B5" s="4" t="n">
        <x:v>1450</x:v>
      </x:c>
      <x:c r="C5" s="4" t="str">
        <x:v>Large markup surface.</x:v>
      </x:c>
      <x:c r="D5" s="4" t="str">
        <x:v>Extract component wrappers using existing component library.</x:v>
      </x:c>
      <x:c r="E5" s="4" t="str">
        <x:v>Ready</x:v>
      </x:c>
    </x:row>
    <x:row r="6" ht="31.5" customHeight="1">
      <x:c r="A6" s="4" t="str">
        <x:v>ReviewUi/CognitiveMemoryReviewUiService.cs</x:v>
      </x:c>
      <x:c r="B6" s="4" t="n">
        <x:v>1119</x:v>
      </x:c>
      <x:c r="C6" s="4" t="str">
        <x:v>Review UI query, policy, and shaping mixed.</x:v>
      </x:c>
      <x:c r="D6" s="4" t="str">
        <x:v>Separate query/build/policy helpers.</x:v>
      </x:c>
      <x:c r="E6" s="4" t="str">
        <x:v>Ready</x:v>
      </x:c>
    </x:row>
    <x:row r="7" ht="31.5" customHeight="1">
      <x:c r="A7" s="4" t="str">
        <x:v>Consolidation/CognitiveMemoryConsolidationServices.cs</x:v>
      </x:c>
      <x:c r="B7" s="4" t="n">
        <x:v>1085</x:v>
      </x:c>
      <x:c r="C7" s="4" t="str">
        <x:v>Selection, candidate creation, application, reporting coupled.</x:v>
      </x:c>
      <x:c r="D7" s="4" t="str">
        <x:v>Split extraction, generation, policy, application, metrics.</x:v>
      </x:c>
      <x:c r="E7" s="4" t="str">
        <x:v>Ready</x:v>
      </x:c>
    </x:row>
    <x:row r="8" ht="31.5" customHeight="1">
      <x:c r="A8" s="4" t="str">
        <x:v>Settings/CognitiveMemorySettingsServices.cs</x:v>
      </x:c>
      <x:c r="B8" s="4" t="n">
        <x:v>926</x:v>
      </x:c>
      <x:c r="C8" s="4" t="str">
        <x:v>Settings validation/defaults/persistence mixed.</x:v>
      </x:c>
      <x:c r="D8" s="4" t="str">
        <x:v>Split typed validation and persistence helpers.</x:v>
      </x:c>
      <x:c r="E8" s="4" t="str">
        <x:v>Ready</x:v>
      </x:c>
    </x:row>
    <x:row r="9" ht="31.5" customHeight="1">
      <x:c r="A9" s="4" t="str">
        <x:v>Web/Api/CognitiveMemoryApi.cs</x:v>
      </x:c>
      <x:c r="B9" s="4" t="n">
        <x:v>1476</x:v>
      </x:c>
      <x:c r="C9" s="4" t="str">
        <x:v>Large API route map.</x:v>
      </x:c>
      <x:c r="D9" s="4" t="str">
        <x:v>Split route groups without changing routes.</x:v>
      </x:c>
      <x:c r="E9" s="4" t="str">
        <x:v>Ready</x:v>
      </x:c>
    </x:row>
  </x:sheetData>
  <x:dataValidations count="1">
    <x:dataValidation type="list" sqref="E2:E9">
      <x:formula1>"Ready,In Progress,Completed,Blocked,Needs Repair,Pending"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69.30999755859375" hidden="0" customWidth="1"/>
    <x:col min="3" max="3" width="12.789999961853027" hidden="0" customWidth="1"/>
    <x:col min="4" max="4" width="55.849998474121094" hidden="0" customWidth="1"/>
    <x:col min="5" max="5" width="31.6299991607666" hidden="0" customWidth="1"/>
  </x:cols>
  <x:sheetData>
    <x:row r="1" ht="25.5" customHeight="1">
      <x:c r="A1" s="13" t="str">
        <x:v>ID</x:v>
      </x:c>
      <x:c r="B1" s="13" t="str">
        <x:v>Risk</x:v>
      </x:c>
      <x:c r="C1" s="13" t="str">
        <x:v>Severity</x:v>
      </x:c>
      <x:c r="D1" s="13" t="str">
        <x:v>Mitigation</x:v>
      </x:c>
      <x:c r="E1" s="13" t="str">
        <x:v>Owner</x:v>
      </x:c>
    </x:row>
    <x:row r="2" ht="31.5" customHeight="1">
      <x:c r="A2" s="4" t="str">
        <x:v>R01</x:v>
      </x:c>
      <x:c r="B2" s="4" t="str">
        <x:v>Generic model answer appears correct without memory provenance.</x:v>
      </x:c>
      <x:c r="C2" s="4" t="str">
        <x:v>High</x:v>
      </x:c>
      <x:c r="D2" s="4" t="str">
        <x:v>Probe validation must inspect context sources and review state.</x:v>
      </x:c>
      <x:c r="E2" s="4" t="str">
        <x:v>Codex</x:v>
      </x:c>
    </x:row>
    <x:row r="3" ht="31.5" customHeight="1">
      <x:c r="A3" s="4" t="str">
        <x:v>R02</x:v>
      </x:c>
      <x:c r="B3" s="4" t="str">
        <x:v>routery hesla leaks into ingestion, prompts, or recall.</x:v>
      </x:c>
      <x:c r="C3" s="4" t="str">
        <x:v>High</x:v>
      </x:c>
      <x:c r="D3" s="4" t="str">
        <x:v>Explicit manifest exclusion and absence checks.</x:v>
      </x:c>
      <x:c r="E3" s="4" t="str">
        <x:v>Codex</x:v>
      </x:c>
    </x:row>
    <x:row r="4" ht="31.5" customHeight="1">
      <x:c r="A4" s="4" t="str">
        <x:v>R03</x:v>
      </x:c>
      <x:c r="B4" s="4" t="str">
        <x:v>Ollama silently truncates long answers.</x:v>
      </x:c>
      <x:c r="C4" s="4" t="str">
        <x:v>High</x:v>
      </x:c>
      <x:c r="D4" s="4" t="str">
        <x:v>Expose max output tokens and truncation state.</x:v>
      </x:c>
      <x:c r="E4" s="4" t="str">
        <x:v>Codex</x:v>
      </x:c>
    </x:row>
    <x:row r="5" ht="31.5" customHeight="1">
      <x:c r="A5" s="4" t="str">
        <x:v>R04</x:v>
      </x:c>
      <x:c r="B5" s="4" t="str">
        <x:v>Refactor churn breaks route or persistence contracts.</x:v>
      </x:c>
      <x:c r="C5" s="4" t="str">
        <x:v>High</x:v>
      </x:c>
      <x:c r="D5" s="4" t="str">
        <x:v>Behavior tests before file splits; route smoke after split.</x:v>
      </x:c>
      <x:c r="E5" s="4" t="str">
        <x:v>Codex</x:v>
      </x:c>
    </x:row>
    <x:row r="6" ht="31.5" customHeight="1">
      <x:c r="A6" s="4" t="str">
        <x:v>R05</x:v>
      </x:c>
      <x:c r="B6" s="4" t="str">
        <x:v>Single LB4U project overgeneralizes business-plan knowledge.</x:v>
      </x:c>
      <x:c r="C6" s="4" t="str">
        <x:v>Medium</x:v>
      </x:c>
      <x:c r="D6" s="4" t="str">
        <x:v>Keep reusable knowledge review-gated and source-supported.</x:v>
      </x:c>
      <x:c r="E6" s="4" t="str">
        <x:v>Codex</x:v>
      </x:c>
    </x:row>
    <x:row r="7" ht="31.5" customHeight="1">
      <x:c r="A7" s="4" t="str">
        <x:v>R06</x:v>
      </x:c>
      <x:c r="B7" s="4" t="str">
        <x:v>Spreadsheet/PDF/PPT extraction misses important tables or slide context.</x:v>
      </x:c>
      <x:c r="C7" s="4" t="str">
        <x:v>Medium</x:v>
      </x:c>
      <x:c r="D7" s="4" t="str">
        <x:v>Source-specific tests and manual probe observations.</x:v>
      </x:c>
      <x:c r="E7" s="4" t="str">
        <x:v>Codex</x:v>
      </x:c>
    </x:row>
    <x:row r="8" ht="31.5" customHeight="1">
      <x:c r="A8" s="4" t="str">
        <x:v>R07</x:v>
      </x:c>
      <x:c r="B8" s="4" t="str">
        <x:v>Provider secrets leak into logs.</x:v>
      </x:c>
      <x:c r="C8" s="4" t="str">
        <x:v>High</x:v>
      </x:c>
      <x:c r="D8" s="4" t="str">
        <x:v>Mask sensitive values and avoid recording credentials.</x:v>
      </x:c>
      <x:c r="E8" s="4" t="str">
        <x:v>Codex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20.860000610351562" hidden="0" customWidth="1"/>
    <x:col min="3" max="3" width="28.940000534057617" hidden="0" customWidth="1"/>
    <x:col min="4" max="4" width="55.849998474121094" hidden="0" customWidth="1"/>
    <x:col min="5" max="5" width="55.849998474121094" hidden="0" customWidth="1"/>
    <x:col min="6" max="6" width="20.860000610351562" hidden="0" customWidth="1"/>
  </x:cols>
  <x:sheetData>
    <x:row r="1" ht="25.5" customHeight="1">
      <x:c r="A1" s="13" t="str">
        <x:v>Date</x:v>
      </x:c>
      <x:c r="B1" s="13" t="str">
        <x:v>Subbundle</x:v>
      </x:c>
      <x:c r="C1" s="13" t="str">
        <x:v>Evidence Type</x:v>
      </x:c>
      <x:c r="D1" s="13" t="str">
        <x:v>Command Or Endpoint</x:v>
      </x:c>
      <x:c r="E1" s="13" t="str">
        <x:v>Result Summary</x:v>
      </x:c>
      <x:c r="F1" s="13" t="str">
        <x:v>Status</x:v>
      </x:c>
    </x:row>
    <x:row r="2" ht="31.5" customHeight="1">
      <x:c r="A2" s="4" t="str">
        <x:v>2026-05-18</x:v>
      </x:c>
      <x:c r="B2" s="4" t="str">
        <x:v>Bundle Prep</x:v>
      </x:c>
      <x:c r="C2" s="4" t="str">
        <x:v>Prepared validator</x:v>
      </x:c>
      <x:c r="D2" s="4" t="str">
        <x:v>validate_bundle.py --profile initiative --stage prepared</x:v>
      </x:c>
      <x:c r="E2" s="4" t="str">
        <x:v>Bundle is valid for stage prepared.</x:v>
      </x:c>
      <x:c r="F2" s="4" t="str">
        <x:v>Completed</x:v>
      </x:c>
    </x:row>
    <x:row r="3" ht="31.5" customHeight="1">
      <x:c r="A3" s="4" t="str">
        <x:v>2026-05-18</x:v>
      </x:c>
      <x:c r="B3" s="4" t="str">
        <x:v>00</x:v>
      </x:c>
      <x:c r="C3" s="4" t="str">
        <x:v>Worktree</x:v>
      </x:c>
      <x:c r="D3" s="4" t="str">
        <x:v>git status --short</x:v>
      </x:c>
      <x:c r="E3" s="4" t="str">
        <x:v>Only follow-up bundle is untracked and owned by this workflow.</x:v>
      </x:c>
      <x:c r="F3" s="4" t="str">
        <x:v>Completed</x:v>
      </x:c>
    </x:row>
    <x:row r="4" ht="31.5" customHeight="1">
      <x:c r="A4" s="4" t="str">
        <x:v>2026-05-18</x:v>
      </x:c>
      <x:c r="B4" s="4" t="str">
        <x:v>00</x:v>
      </x:c>
      <x:c r="C4" s="4" t="str">
        <x:v>Unit tests</x:v>
      </x:c>
      <x:c r="D4" s="4" t="str">
        <x:v>dotnet test Unit --filter FullyQualifiedName~CognitiveMemory -m:1</x:v>
      </x:c>
      <x:c r="E4" s="4" t="str">
        <x:v>Passed 104/104.</x:v>
      </x:c>
      <x:c r="F4" s="4" t="str">
        <x:v>Completed</x:v>
      </x:c>
    </x:row>
    <x:row r="5" ht="31.5" customHeight="1">
      <x:c r="A5" s="4" t="str">
        <x:v>2026-05-18</x:v>
      </x:c>
      <x:c r="B5" s="4" t="str">
        <x:v>00</x:v>
      </x:c>
      <x:c r="C5" s="4" t="str">
        <x:v>Integration tests</x:v>
      </x:c>
      <x:c r="D5" s="4" t="str">
        <x:v>dotnet test Integration --filter FullyQualifiedName~CognitiveMemory -m:1</x:v>
      </x:c>
      <x:c r="E5" s="4" t="str">
        <x:v>Failed 1/25 on SQLite DateTimeOffset ORDER BY in recall lexical candidate query.</x:v>
      </x:c>
      <x:c r="F5" s="4" t="str">
        <x:v>Needs Repair</x:v>
      </x:c>
    </x:row>
    <x:row r="6" ht="31.5" customHeight="1">
      <x:c r="A6" s="4" t="str">
        <x:v>2026-05-18</x:v>
      </x:c>
      <x:c r="B6" s="4" t="str">
        <x:v>00</x:v>
      </x:c>
      <x:c r="C6" s="4" t="str">
        <x:v>Component tests</x:v>
      </x:c>
      <x:c r="D6" s="4" t="str">
        <x:v>dotnet test Components --filter FullyQualifiedName~CognitiveMemory -m:1</x:v>
      </x:c>
      <x:c r="E6" s="4" t="str">
        <x:v>Passed 1/1.</x:v>
      </x:c>
      <x:c r="F6" s="4" t="str">
        <x:v>Completed</x:v>
      </x:c>
    </x:row>
    <x:row r="7" ht="31.5" customHeight="1">
      <x:c r="A7" s="4" t="str">
        <x:v>2026-05-18</x:v>
      </x:c>
      <x:c r="B7" s="4" t="str">
        <x:v>00</x:v>
      </x:c>
      <x:c r="C7" s="4" t="str">
        <x:v>API readiness</x:v>
      </x:c>
      <x:c r="D7" s="4" t="str">
        <x:v>Get-NetTCPConnection default ports</x:v>
      </x:c>
      <x:c r="E7" s="4" t="str">
        <x:v>No listener on 5032 or 7271; live API validation must start web app later.</x:v>
      </x:c>
      <x:c r="F7" s="4" t="str">
        <x:v>Completed</x:v>
      </x:c>
    </x:row>
    <x:row r="8" ht="31.5" customHeight="1">
      <x:c r="A8" s="4" t="str">
        <x:v>2026-05-18</x:v>
      </x:c>
      <x:c r="B8" s="4" t="str">
        <x:v>01</x:v>
      </x:c>
      <x:c r="C8" s="4" t="str">
        <x:v>Recall fix</x:v>
      </x:c>
      <x:c r="D8" s="4" t="str">
        <x:v>dotnet test Integration --filter FullyQualifiedName~CognitiveMemory -m:1</x:v>
      </x:c>
      <x:c r="E8" s="4" t="str">
        <x:v>SQLite DateTimeOffset ordering failure repaired; final integration pass 25/25.</x:v>
      </x:c>
      <x:c r="F8" s="4" t="str">
        <x:v>Completed</x:v>
      </x:c>
    </x:row>
    <x:row r="9" ht="31.5" customHeight="1">
      <x:c r="A9" s="4" t="str">
        <x:v>2026-05-18</x:v>
      </x:c>
      <x:c r="B9" s="4" t="str">
        <x:v>02</x:v>
      </x:c>
      <x:c r="C9" s="4" t="str">
        <x:v>Secret safety</x:v>
      </x:c>
      <x:c r="D9" s="4" t="str">
        <x:v>CognitiveMemoryOperationalSettingsTests</x:v>
      </x:c>
      <x:c r="E9" s="4" t="str">
        <x:v>Staged manifest validates exclusions without reading excluded paths.</x:v>
      </x:c>
      <x:c r="F9" s="4" t="str">
        <x:v>Completed</x:v>
      </x:c>
    </x:row>
    <x:row r="10" ht="31.5" customHeight="1">
      <x:c r="A10" s="4" t="str">
        <x:v>2026-05-18</x:v>
      </x:c>
      <x:c r="B10" s="4" t="str">
        <x:v>03</x:v>
      </x:c>
      <x:c r="C10" s="4" t="str">
        <x:v>Settings</x:v>
      </x:c>
      <x:c r="D10" s="4" t="str">
        <x:v>GET/PUT /api/cognitive-memory/settings</x:v>
      </x:c>
      <x:c r="E10" s="4" t="str">
        <x:v>OpenAI gpt-5-mini and Ollama gptoss20b64k profiles read back with explicit output token budgets.</x:v>
      </x:c>
      <x:c r="F10" s="4" t="str">
        <x:v>Completed</x:v>
      </x:c>
    </x:row>
    <x:row r="11" ht="31.5" customHeight="1">
      <x:c r="A11" s="4" t="str">
        <x:v>2026-05-18</x:v>
      </x:c>
      <x:c r="B11" s="4" t="str">
        <x:v>04</x:v>
      </x:c>
      <x:c r="C11" s="4" t="str">
        <x:v>Consolidation</x:v>
      </x:c>
      <x:c r="D11" s="4" t="str">
        <x:v>POST /api/cognitive-memory/consolidation/runs</x:v>
      </x:c>
      <x:c r="E11" s="4" t="str">
        <x:v>Run 27301740-2154-48f0-b98f-7b01303d95aa scanned 43, created 39 after contact filter.</x:v>
      </x:c>
      <x:c r="F11" s="4" t="str">
        <x:v>Completed</x:v>
      </x:c>
    </x:row>
    <x:row r="12" ht="31.5" customHeight="1">
      <x:c r="A12" s="4" t="str">
        <x:v>2026-05-18</x:v>
      </x:c>
      <x:c r="B12" s="4" t="str">
        <x:v>05</x:v>
      </x:c>
      <x:c r="C12" s="4" t="str">
        <x:v>Epistemic drive</x:v>
      </x:c>
      <x:c r="D12" s="4" t="str">
        <x:v>POST /api/cognitive-memory/epistemic-drive/scans</x:v>
      </x:c>
      <x:c r="E12" s="4" t="str">
        <x:v>Approved source-backed proposals; repeat scan returned 0 duplicates.</x:v>
      </x:c>
      <x:c r="F12" s="4" t="str">
        <x:v>Completed</x:v>
      </x:c>
    </x:row>
    <x:row r="13" ht="31.5" customHeight="1">
      <x:c r="A13" s="4" t="str">
        <x:v>2026-05-18</x:v>
      </x:c>
      <x:c r="B13" s="4" t="str">
        <x:v>06</x:v>
      </x:c>
      <x:c r="C13" s="4" t="str">
        <x:v>Probes</x:v>
      </x:c>
      <x:c r="D13" s="4" t="str">
        <x:v>POST /api/cognitive-memory/probes/sessions/{id}/turns</x:v>
      </x:c>
      <x:c r="E13" s="4" t="str">
        <x:v>Probe summaries retained source context and redacted emails/phones.</x:v>
      </x:c>
      <x:c r="F13" s="4" t="str">
        <x:v>Completed</x:v>
      </x:c>
    </x:row>
    <x:row r="14" ht="31.5" customHeight="1">
      <x:c r="A14" s="4" t="str">
        <x:v>2026-05-18</x:v>
      </x:c>
      <x:c r="B14" s="4" t="str">
        <x:v>08</x:v>
      </x:c>
      <x:c r="C14" s="4" t="str">
        <x:v>OpenAI live validation</x:v>
      </x:c>
      <x:c r="D14" s="4" t="str">
        <x:v>gpt-5-mini profiles and LB4U staged ingestion</x:v>
      </x:c>
      <x:c r="E14" s="4" t="str">
        <x:v>Business-plan/product/procurement probes improved after review and extraction cycles.</x:v>
      </x:c>
      <x:c r="F14" s="4" t="str">
        <x:v>Completed</x:v>
      </x:c>
    </x:row>
    <x:row r="15" ht="31.5" customHeight="1">
      <x:c r="A15" s="4" t="str">
        <x:v>2026-05-18</x:v>
      </x:c>
      <x:c r="B15" s="4" t="str">
        <x:v>09</x:v>
      </x:c>
      <x:c r="C15" s="4" t="str">
        <x:v>Ollama live validation</x:v>
      </x:c>
      <x:c r="D15" s="4" t="str">
        <x:v>Ollama /api/generate</x:v>
      </x:c>
      <x:c r="E15" s="4" t="str">
        <x:v>gptoss20b64k accepted num_predict=8192 and local settings recall smoke passed.</x:v>
      </x:c>
      <x:c r="F15" s="4" t="str">
        <x:v>Completed</x:v>
      </x:c>
    </x:row>
    <x:row r="16" ht="31.5" customHeight="1">
      <x:c r="A16" s="4" t="str">
        <x:v>2026-05-18</x:v>
      </x:c>
      <x:c r="B16" s="4" t="str">
        <x:v>Final</x:v>
      </x:c>
      <x:c r="C16" s="4" t="str">
        <x:v>Unit tests</x:v>
      </x:c>
      <x:c r="D16" s="4" t="str">
        <x:v>dotnet test Unit --filter FullyQualifiedName~CognitiveMemory -m:1</x:v>
      </x:c>
      <x:c r="E16" s="4" t="str">
        <x:v>Passed 113/113.</x:v>
      </x:c>
      <x:c r="F16" s="4" t="str">
        <x:v>Completed</x:v>
      </x:c>
    </x:row>
    <x:row r="17" ht="31.5" customHeight="1">
      <x:c r="A17" s="4" t="str">
        <x:v>2026-05-18</x:v>
      </x:c>
      <x:c r="B17" s="4" t="str">
        <x:v>Final</x:v>
      </x:c>
      <x:c r="C17" s="4" t="str">
        <x:v>Integration tests</x:v>
      </x:c>
      <x:c r="D17" s="4" t="str">
        <x:v>dotnet test Integration --filter FullyQualifiedName~CognitiveMemory -m:1</x:v>
      </x:c>
      <x:c r="E17" s="4" t="str">
        <x:v>Passed 25/25.</x:v>
      </x:c>
      <x:c r="F17" s="4" t="str">
        <x:v>Completed</x:v>
      </x:c>
    </x:row>
    <x:row r="18" ht="31.5" customHeight="1">
      <x:c r="A18" s="4" t="str">
        <x:v>2026-05-18</x:v>
      </x:c>
      <x:c r="B18" s="4" t="str">
        <x:v>Final</x:v>
      </x:c>
      <x:c r="C18" s="4" t="str">
        <x:v>Component tests</x:v>
      </x:c>
      <x:c r="D18" s="4" t="str">
        <x:v>dotnet test Components --filter FullyQualifiedName~CognitiveMemory -m:1</x:v>
      </x:c>
      <x:c r="E18" s="4" t="str">
        <x:v>Passed 1/1.</x:v>
      </x:c>
      <x:c r="F18" s="4" t="str">
        <x:v>Completed</x:v>
      </x:c>
    </x:row>
    <x:row r="19" ht="31.5" customHeight="1">
      <x:c r="A19" s="4" t="str">
        <x:v>2026-05-18</x:v>
      </x:c>
      <x:c r="B19" s="4" t="str">
        <x:v>Final</x:v>
      </x:c>
      <x:c r="C19" s="4" t="str">
        <x:v>Build</x:v>
      </x:c>
      <x:c r="D19" s="4" t="str">
        <x:v>dotnet build CanDoItAll.slnx --no-restore -m:1 --verbosity:minimal</x:v>
      </x:c>
      <x:c r="E19" s="4" t="str">
        <x:v>Passed with existing Google.Protobuf MSB3277 warnings.</x:v>
      </x:c>
      <x:c r="F19" s="4" t="str">
        <x:v>Completed</x:v>
      </x:c>
    </x:row>
    <x:row r="20" ht="31.5" customHeight="1">
      <x:c r="A20" s="4" t="str">
        <x:v>2026-05-18</x:v>
      </x:c>
      <x:c r="B20" s="4" t="str">
        <x:v>Final</x:v>
      </x:c>
      <x:c r="C20" s="4" t="str">
        <x:v>Bundle validator</x:v>
      </x:c>
      <x:c r="D20" s="4" t="str">
        <x:v>validate_bundle.py --profile initiative --stage completed</x:v>
      </x:c>
      <x:c r="E20" s="4" t="str">
        <x:v>Bundle is valid for stage completed.</x:v>
      </x:c>
      <x:c r="F20" s="4" t="str">
        <x:v>Completed</x:v>
      </x:c>
    </x:row>
  </x:sheetData>
  <x:dataValidations count="1">
    <x:dataValidation type="list" sqref="F2:F20">
      <x:formula1>"Ready,In Progress,Completed,Blocked,Needs Repair,Pending"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1999969482422" hidden="0" customWidth="1"/>
    <x:col min="2" max="2" width="82.7699966430664" hidden="0" customWidth="1"/>
    <x:col min="3" max="3" width="45.09000015258789" hidden="0" customWidth="1"/>
    <x:col min="4" max="4" width="26.239999771118164" hidden="0" customWidth="1"/>
  </x:cols>
  <x:sheetData>
    <x:row r="1" ht="25.5" customHeight="1">
      <x:c r="A1" s="13" t="str">
        <x:v>Reference Type</x:v>
      </x:c>
      <x:c r="B1" s="13" t="str">
        <x:v>Path Or Identifier</x:v>
      </x:c>
      <x:c r="C1" s="13" t="str">
        <x:v>Use</x:v>
      </x:c>
      <x:c r="D1" s="13" t="str">
        <x:v>Sensitivity</x:v>
      </x:c>
    </x:row>
    <x:row r="2" ht="31.5" customHeight="1">
      <x:c r="A2" s="4" t="str">
        <x:v>Original bundle</x:v>
      </x:c>
      <x:c r="B2" s="4" t="str">
        <x:v>C:/repositories/CanDoItAll/codex/bundles/cognitive-memory-architecture-v2</x:v>
      </x:c>
      <x:c r="C2" s="4" t="str">
        <x:v>Source contract</x:v>
      </x:c>
      <x:c r="D2" s="4" t="str">
        <x:v>Internal</x:v>
      </x:c>
    </x:row>
    <x:row r="3" ht="31.5" customHeight="1">
      <x:c r="A3" s="4" t="str">
        <x:v>Follow-up bundle</x:v>
      </x:c>
      <x:c r="B3" s="4" t="str">
        <x:v>C:\repositories\CanDoItAll\codex\bundles\cognitive-memory-followup-lb4u-validation-refactor</x:v>
      </x:c>
      <x:c r="C3" s="4" t="str">
        <x:v>Execution plan and state</x:v>
      </x:c>
      <x:c r="D3" s="4" t="str">
        <x:v>Internal</x:v>
      </x:c>
    </x:row>
    <x:row r="4" ht="31.5" customHeight="1">
      <x:c r="A4" s="4" t="str">
        <x:v>LB4U root</x:v>
      </x:c>
      <x:c r="B4" s="4" t="str">
        <x:v>C:/Users/lucys/OneDrive - TechnicInsider/Brano/LB4U</x:v>
      </x:c>
      <x:c r="C4" s="4" t="str">
        <x:v>Read-only source root</x:v>
      </x:c>
      <x:c r="D4" s="4" t="str">
        <x:v>Internal</x:v>
      </x:c>
    </x:row>
    <x:row r="5" ht="31.5" customHeight="1">
      <x:c r="A5" s="4" t="str">
        <x:v>LB4U business plan</x:v>
      </x:c>
      <x:c r="B5" s="4" t="str">
        <x:v>C:/Users/lucys/OneDrive - TechnicInsider/Brano/LB4U/LB4U-BP.docx</x:v>
      </x:c>
      <x:c r="C5" s="4" t="str">
        <x:v>Main semantic source</x:v>
      </x:c>
      <x:c r="D5" s="4" t="str">
        <x:v>Internal</x:v>
      </x:c>
    </x:row>
    <x:row r="6" ht="31.5" customHeight="1">
      <x:c r="A6" s="4" t="str">
        <x:v>Excluded file</x:v>
      </x:c>
      <x:c r="B6" s="4" t="str">
        <x:v>C:/Users/lucys/OneDrive - TechnicInsider/Brano/LB4U/routery hesla</x:v>
      </x:c>
      <x:c r="C6" s="4" t="str">
        <x:v>Exclusion test only; never read or ingest</x:v>
      </x:c>
      <x:c r="D6" s="4" t="str">
        <x:v>Sensitive</x:v>
      </x:c>
    </x:row>
    <x:row r="7" ht="31.5" customHeight="1">
      <x:c r="A7" s="4" t="str">
        <x:v>Codeanalytics snapshot</x:v>
      </x:c>
      <x:c r="B7" s="4" t="str">
        <x:v>snap-20260518225923-20ac6533</x:v>
      </x:c>
      <x:c r="C7" s="4" t="str">
        <x:v>Implementation inventory evidence</x:v>
      </x:c>
      <x:c r="D7" s="4" t="str">
        <x:v>Internal</x:v>
      </x:c>
    </x:row>
    <x:row r="8" ht="31.5" customHeight="1">
      <x:c r="A8" s="4" t="str">
        <x:v>API skill</x:v>
      </x:c>
      <x:c r="B8" s="4" t="str">
        <x:v>C:/Users/lucys/.codex/skills/candoitall-api-cognitive-memory/SKILL.md</x:v>
      </x:c>
      <x:c r="C8" s="4" t="str">
        <x:v>Memory API workflow</x:v>
      </x:c>
      <x:c r="D8" s="4" t="str">
        <x:v>Internal</x:v>
      </x:c>
    </x:row>
  </x:sheetData>
  <x:pageMargins left="0.7" right="0.7" top="0.75" bottom="0.75" header="0.3" footer="0.3"/>
</x:worksheet>
</file>